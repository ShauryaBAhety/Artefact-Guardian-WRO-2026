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92c306fa0a04a5f/Desktop/"/>
    </mc:Choice>
  </mc:AlternateContent>
  <xr:revisionPtr revIDLastSave="19" documentId="11_3CF729B20B8039D2AAD0571104D7DEC0D8E43B81" xr6:coauthVersionLast="47" xr6:coauthVersionMax="47" xr10:uidLastSave="{CB7BC25B-AD9C-498D-90AF-06203D3714AD}"/>
  <bookViews>
    <workbookView xWindow="-98" yWindow="-98" windowWidth="21795" windowHeight="12975" xr2:uid="{00000000-000D-0000-FFFF-FFFF00000000}"/>
  </bookViews>
  <sheets>
    <sheet name="BOM" sheetId="1" r:id="rId1"/>
    <sheet name="Final Robot Hardware" sheetId="2" r:id="rId2"/>
  </sheets>
  <definedNames>
    <definedName name="_xlnm._FilterDatabase" localSheetId="0" hidden="1">BOM!$A$4:$E$16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  <c r="D5" i="1"/>
  <c r="D16" i="1" l="1"/>
  <c r="D20" i="1"/>
  <c r="D19" i="1"/>
  <c r="D21" i="1" s="1"/>
</calcChain>
</file>

<file path=xl/sharedStrings.xml><?xml version="1.0" encoding="utf-8"?>
<sst xmlns="http://schemas.openxmlformats.org/spreadsheetml/2006/main" count="51" uniqueCount="41">
  <si>
    <t>ARTEFACT GUARDIAN – WRO 2026</t>
  </si>
  <si>
    <t>Bill of Materials (BOM) – Final Robot &amp; Spares</t>
  </si>
  <si>
    <t>Product Name</t>
  </si>
  <si>
    <t>Quantity</t>
  </si>
  <si>
    <t>Unit Price (₹)</t>
  </si>
  <si>
    <t>Total Price (₹)</t>
  </si>
  <si>
    <t>Status</t>
  </si>
  <si>
    <t>DS3218 high torque servo motors</t>
  </si>
  <si>
    <t>Used</t>
  </si>
  <si>
    <t>16 Channel PWM Servo Motor Driver I2C Module</t>
  </si>
  <si>
    <t>Spare / Not used</t>
  </si>
  <si>
    <t>Wire Stripper and Cutter</t>
  </si>
  <si>
    <t>2mm 1-meter Heat Shrink Polyolefin Sleeve Black</t>
  </si>
  <si>
    <t>High Quality 10 Core Rainbow Ribbon Flat Cable</t>
  </si>
  <si>
    <t>1 sq.mm Flexible Copper Wire 32/0.2 Black 13A</t>
  </si>
  <si>
    <t>1 sq.mm Flexible Copper Wire 32/0.2 Red 13A</t>
  </si>
  <si>
    <t>DC-DC Buck Converter Step-down Power Module 7-32V to 0.8-28V 12A 300W</t>
  </si>
  <si>
    <t>MURATA (SONY) US18650VTC6 3000mAh (7C) LI-ION BATTERY</t>
  </si>
  <si>
    <t>Spare</t>
  </si>
  <si>
    <t>Black Plastic Storage Box Case Holder</t>
  </si>
  <si>
    <t>GRAND TOTAL</t>
  </si>
  <si>
    <t>FINAL ROBOT SUBTOTAL</t>
  </si>
  <si>
    <t>SPARES SUBTOTAL</t>
  </si>
  <si>
    <t>PURCHASE TOTAL</t>
  </si>
  <si>
    <t>Notes</t>
  </si>
  <si>
    <t>• 2 of the 3 purchased 18650 batteries are used in the final robot; 1 is spare.</t>
  </si>
  <si>
    <t>• The 16-channel PWM servo driver is a spare and is NOT used in the final robot.</t>
  </si>
  <si>
    <t>• Prices are based on the uploaded purchase BOM; totals are calculated automatically.</t>
  </si>
  <si>
    <t>• The original purchase document lists GST-inclusive totals for several items.</t>
  </si>
  <si>
    <t>Component</t>
  </si>
  <si>
    <t>Purpose</t>
  </si>
  <si>
    <t>ESP32</t>
  </si>
  <si>
    <t>Main controller</t>
  </si>
  <si>
    <t>DS3218 servo motors</t>
  </si>
  <si>
    <t>Base, shoulder, elbow, wrist and gripper</t>
  </si>
  <si>
    <t>DC-DC buck converter</t>
  </si>
  <si>
    <t>Power regulation</t>
  </si>
  <si>
    <t>18650 Li-ion batteries</t>
  </si>
  <si>
    <t>Final robot battery pack</t>
  </si>
  <si>
    <t>Power switch</t>
  </si>
  <si>
    <t>Main power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</si>
</sst>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zoomScaleNormal="100" workbookViewId="0">
      <pane ySplit="4" topLeftCell="A5" activePane="bottomLeft" state="frozen"/>
      <selection pane="bottomLeft" activeCell="A19" sqref="A19"/>
    </sheetView>
  </sheetViews>
  <sheetFormatPr defaultRowHeight="14.25" x14ac:dyDescent="0.45"/>
  <cols>
    <col min="1" max="1" width="62" customWidth="1"/>
    <col min="2" max="2" width="12" customWidth="1"/>
    <col min="3" max="4" width="18" customWidth="1"/>
    <col min="5" max="5" width="22" customWidth="1"/>
  </cols>
  <sheetData>
    <row r="1" spans="1:5" ht="21" x14ac:dyDescent="0.65">
      <c r="A1" s="9" t="s">
        <v>0</v>
      </c>
      <c r="B1" s="6"/>
      <c r="C1" s="6"/>
      <c r="D1" s="6"/>
      <c r="E1" s="6"/>
    </row>
    <row r="2" spans="1:5" ht="15.75" x14ac:dyDescent="0.5">
      <c r="A2" s="8" t="s">
        <v>1</v>
      </c>
      <c r="B2" s="6"/>
      <c r="C2" s="6"/>
      <c r="D2" s="6"/>
      <c r="E2" s="6"/>
    </row>
    <row r="4" spans="1:5" x14ac:dyDescent="0.4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</row>
    <row r="5" spans="1:5" x14ac:dyDescent="0.45">
      <c r="A5" s="12" t="s">
        <v>7</v>
      </c>
      <c r="B5" s="12">
        <v>5</v>
      </c>
      <c r="C5" s="13">
        <v>1582</v>
      </c>
      <c r="D5" s="13">
        <f t="shared" ref="D5:D15" si="0">B5*C5</f>
        <v>7910</v>
      </c>
      <c r="E5" s="12" t="s">
        <v>8</v>
      </c>
    </row>
    <row r="6" spans="1:5" x14ac:dyDescent="0.45">
      <c r="A6" s="12" t="s">
        <v>9</v>
      </c>
      <c r="B6" s="12">
        <v>1</v>
      </c>
      <c r="C6" s="13">
        <v>258</v>
      </c>
      <c r="D6" s="13">
        <f t="shared" si="0"/>
        <v>258</v>
      </c>
      <c r="E6" s="12" t="s">
        <v>10</v>
      </c>
    </row>
    <row r="7" spans="1:5" x14ac:dyDescent="0.45">
      <c r="A7" s="12" t="s">
        <v>11</v>
      </c>
      <c r="B7" s="12">
        <v>1</v>
      </c>
      <c r="C7" s="13">
        <v>60</v>
      </c>
      <c r="D7" s="13">
        <f t="shared" si="0"/>
        <v>60</v>
      </c>
      <c r="E7" s="12" t="s">
        <v>8</v>
      </c>
    </row>
    <row r="8" spans="1:5" x14ac:dyDescent="0.45">
      <c r="A8" s="12" t="s">
        <v>12</v>
      </c>
      <c r="B8" s="12">
        <v>3</v>
      </c>
      <c r="C8" s="13">
        <v>12.71</v>
      </c>
      <c r="D8" s="13">
        <f t="shared" si="0"/>
        <v>38.130000000000003</v>
      </c>
      <c r="E8" s="12" t="s">
        <v>8</v>
      </c>
    </row>
    <row r="9" spans="1:5" x14ac:dyDescent="0.45">
      <c r="A9" s="12" t="s">
        <v>13</v>
      </c>
      <c r="B9" s="12">
        <v>1</v>
      </c>
      <c r="C9" s="13">
        <v>66.95</v>
      </c>
      <c r="D9" s="13">
        <f t="shared" si="0"/>
        <v>66.95</v>
      </c>
      <c r="E9" s="12" t="s">
        <v>8</v>
      </c>
    </row>
    <row r="10" spans="1:5" x14ac:dyDescent="0.45">
      <c r="A10" s="12" t="s">
        <v>14</v>
      </c>
      <c r="B10" s="12">
        <v>3</v>
      </c>
      <c r="C10" s="13">
        <v>24.58</v>
      </c>
      <c r="D10" s="13">
        <f t="shared" si="0"/>
        <v>73.739999999999995</v>
      </c>
      <c r="E10" s="12" t="s">
        <v>8</v>
      </c>
    </row>
    <row r="11" spans="1:5" x14ac:dyDescent="0.45">
      <c r="A11" s="12" t="s">
        <v>15</v>
      </c>
      <c r="B11" s="12">
        <v>3</v>
      </c>
      <c r="C11" s="13">
        <v>24.58</v>
      </c>
      <c r="D11" s="13">
        <f t="shared" si="0"/>
        <v>73.739999999999995</v>
      </c>
      <c r="E11" s="12" t="s">
        <v>8</v>
      </c>
    </row>
    <row r="12" spans="1:5" ht="28.5" x14ac:dyDescent="0.45">
      <c r="A12" s="12" t="s">
        <v>16</v>
      </c>
      <c r="B12" s="12">
        <v>1</v>
      </c>
      <c r="C12" s="13">
        <v>182.2</v>
      </c>
      <c r="D12" s="13">
        <f t="shared" si="0"/>
        <v>182.2</v>
      </c>
      <c r="E12" s="12" t="s">
        <v>8</v>
      </c>
    </row>
    <row r="13" spans="1:5" x14ac:dyDescent="0.45">
      <c r="A13" s="12" t="s">
        <v>17</v>
      </c>
      <c r="B13" s="12">
        <v>2</v>
      </c>
      <c r="C13" s="13">
        <v>570</v>
      </c>
      <c r="D13" s="13">
        <f t="shared" si="0"/>
        <v>1140</v>
      </c>
      <c r="E13" s="12" t="s">
        <v>8</v>
      </c>
    </row>
    <row r="14" spans="1:5" x14ac:dyDescent="0.45">
      <c r="A14" s="12" t="s">
        <v>17</v>
      </c>
      <c r="B14" s="12">
        <v>1</v>
      </c>
      <c r="C14" s="13">
        <v>570</v>
      </c>
      <c r="D14" s="13">
        <f t="shared" si="0"/>
        <v>570</v>
      </c>
      <c r="E14" s="12" t="s">
        <v>18</v>
      </c>
    </row>
    <row r="15" spans="1:5" x14ac:dyDescent="0.45">
      <c r="A15" s="12" t="s">
        <v>19</v>
      </c>
      <c r="B15" s="12">
        <v>2</v>
      </c>
      <c r="C15" s="13">
        <v>13.87</v>
      </c>
      <c r="D15" s="13">
        <f t="shared" si="0"/>
        <v>27.74</v>
      </c>
      <c r="E15" s="12" t="s">
        <v>8</v>
      </c>
    </row>
    <row r="16" spans="1:5" x14ac:dyDescent="0.45">
      <c r="A16" s="1" t="s">
        <v>20</v>
      </c>
      <c r="B16" s="12"/>
      <c r="C16" s="12"/>
      <c r="D16" s="3">
        <f>SUM(D5:D15)</f>
        <v>10400.5</v>
      </c>
      <c r="E16" s="2"/>
    </row>
    <row r="19" spans="1:5" x14ac:dyDescent="0.45">
      <c r="A19" s="4" t="s">
        <v>21</v>
      </c>
      <c r="D19" s="5">
        <f>D5+D7+D8+D9+D10+D11+D12+D13+D15</f>
        <v>9572.5</v>
      </c>
    </row>
    <row r="20" spans="1:5" x14ac:dyDescent="0.45">
      <c r="A20" s="4" t="s">
        <v>22</v>
      </c>
      <c r="D20" s="5">
        <f>D6+D14</f>
        <v>828</v>
      </c>
    </row>
    <row r="21" spans="1:5" x14ac:dyDescent="0.45">
      <c r="A21" s="4" t="s">
        <v>23</v>
      </c>
      <c r="D21" s="5">
        <f>D19+D20</f>
        <v>10400.5</v>
      </c>
    </row>
    <row r="24" spans="1:5" x14ac:dyDescent="0.45">
      <c r="A24" s="7" t="s">
        <v>24</v>
      </c>
      <c r="B24" s="6"/>
      <c r="C24" s="6"/>
      <c r="D24" s="6"/>
      <c r="E24" s="6"/>
    </row>
    <row r="25" spans="1:5" x14ac:dyDescent="0.45">
      <c r="A25" s="6" t="s">
        <v>25</v>
      </c>
      <c r="B25" s="6"/>
      <c r="C25" s="6"/>
      <c r="D25" s="6"/>
      <c r="E25" s="6"/>
    </row>
    <row r="26" spans="1:5" x14ac:dyDescent="0.45">
      <c r="A26" s="6" t="s">
        <v>26</v>
      </c>
      <c r="B26" s="6"/>
      <c r="C26" s="6"/>
      <c r="D26" s="6"/>
      <c r="E26" s="6"/>
    </row>
    <row r="27" spans="1:5" x14ac:dyDescent="0.45">
      <c r="A27" s="6" t="s">
        <v>27</v>
      </c>
      <c r="B27" s="6"/>
      <c r="C27" s="6"/>
      <c r="D27" s="6"/>
      <c r="E27" s="6"/>
    </row>
    <row r="28" spans="1:5" x14ac:dyDescent="0.45">
      <c r="A28" s="6" t="s">
        <v>28</v>
      </c>
      <c r="B28" s="6"/>
      <c r="C28" s="6"/>
      <c r="D28" s="6"/>
      <c r="E28" s="6"/>
    </row>
  </sheetData>
  <autoFilter ref="A4:E16" xr:uid="{00000000-0009-0000-0000-000000000000}"/>
  <mergeCells count="7">
    <mergeCell ref="A1:E1"/>
    <mergeCell ref="A27:E27"/>
    <mergeCell ref="A26:E26"/>
    <mergeCell ref="A24:E24"/>
    <mergeCell ref="A2:E2"/>
    <mergeCell ref="A25:E25"/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zoomScale="175" zoomScaleNormal="175" workbookViewId="0">
      <selection activeCell="B10" sqref="B10"/>
    </sheetView>
  </sheetViews>
  <sheetFormatPr defaultRowHeight="14.25" x14ac:dyDescent="0.45"/>
  <cols>
    <col min="1" max="1" width="32" customWidth="1"/>
    <col min="2" max="2" width="12" customWidth="1"/>
    <col min="3" max="3" width="55" customWidth="1"/>
  </cols>
  <sheetData>
    <row r="1" spans="1:3" x14ac:dyDescent="0.45">
      <c r="A1" s="15" t="s">
        <v>29</v>
      </c>
      <c r="B1" s="15" t="s">
        <v>3</v>
      </c>
      <c r="C1" s="15" t="s">
        <v>30</v>
      </c>
    </row>
    <row r="2" spans="1:3" x14ac:dyDescent="0.45">
      <c r="A2" s="10" t="s">
        <v>31</v>
      </c>
      <c r="B2" s="10">
        <v>1</v>
      </c>
      <c r="C2" s="10" t="s">
        <v>32</v>
      </c>
    </row>
    <row r="3" spans="1:3" x14ac:dyDescent="0.45">
      <c r="A3" s="10" t="s">
        <v>33</v>
      </c>
      <c r="B3" s="10">
        <v>5</v>
      </c>
      <c r="C3" s="10" t="s">
        <v>34</v>
      </c>
    </row>
    <row r="4" spans="1:3" x14ac:dyDescent="0.45">
      <c r="A4" s="10" t="s">
        <v>35</v>
      </c>
      <c r="B4" s="10">
        <v>1</v>
      </c>
      <c r="C4" s="10" t="s">
        <v>36</v>
      </c>
    </row>
    <row r="5" spans="1:3" x14ac:dyDescent="0.45">
      <c r="A5" s="10" t="s">
        <v>37</v>
      </c>
      <c r="B5" s="10">
        <v>2</v>
      </c>
      <c r="C5" s="10" t="s">
        <v>38</v>
      </c>
    </row>
    <row r="6" spans="1:3" x14ac:dyDescent="0.45">
      <c r="A6" s="10" t="s">
        <v>39</v>
      </c>
      <c r="B6" s="10">
        <v>1</v>
      </c>
      <c r="C6" s="10" t="s">
        <v>40</v>
      </c>
    </row>
    <row r="7" spans="1:3" x14ac:dyDescent="0.45">
      <c r="B7" s="11"/>
      <c r="C7" s="11"/>
    </row>
    <row r="8" spans="1:3" x14ac:dyDescent="0.45">
      <c r="A8" s="11"/>
    </row>
    <row r="10" spans="1:3" x14ac:dyDescent="0.45">
      <c r="C10" s="11"/>
    </row>
    <row r="12" spans="1:3" x14ac:dyDescent="0.45">
      <c r="C12" s="11"/>
    </row>
    <row r="13" spans="1:3" x14ac:dyDescent="0.45">
      <c r="B13" s="11"/>
    </row>
    <row r="15" spans="1:3" x14ac:dyDescent="0.45">
      <c r="C15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Final Robot 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dipesh bahety</cp:lastModifiedBy>
  <dcterms:created xsi:type="dcterms:W3CDTF">2026-08-08T17:42:19Z</dcterms:created>
  <dcterms:modified xsi:type="dcterms:W3CDTF">2026-08-08T17:47:16Z</dcterms:modified>
</cp:coreProperties>
</file>